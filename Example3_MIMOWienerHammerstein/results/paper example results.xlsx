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imon\Desktop\NNOE SCRIPT and EXAMPLES\results dataset03\"/>
    </mc:Choice>
  </mc:AlternateContent>
  <xr:revisionPtr revIDLastSave="0" documentId="13_ncr:1_{0F962EC7-49EB-4D9F-8EE1-439CDE19E0D4}" xr6:coauthVersionLast="47" xr6:coauthVersionMax="47" xr10:uidLastSave="{00000000-0000-0000-0000-000000000000}"/>
  <bookViews>
    <workbookView xWindow="15075" yWindow="60" windowWidth="23115" windowHeight="15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54" i="1"/>
  <c r="I55" i="1"/>
  <c r="I56" i="1"/>
  <c r="I57" i="1"/>
  <c r="I58" i="1"/>
  <c r="I59" i="1"/>
  <c r="I60" i="1"/>
  <c r="I61" i="1"/>
  <c r="I62" i="1"/>
  <c r="I52" i="1"/>
  <c r="A41" i="1"/>
  <c r="A42" i="1"/>
  <c r="A43" i="1"/>
  <c r="A44" i="1"/>
  <c r="A45" i="1"/>
  <c r="A46" i="1"/>
  <c r="A47" i="1"/>
  <c r="A40" i="1"/>
  <c r="A39" i="1"/>
  <c r="A38" i="1"/>
  <c r="A37" i="1"/>
  <c r="I38" i="1"/>
  <c r="I39" i="1"/>
  <c r="I40" i="1"/>
  <c r="I41" i="1"/>
  <c r="I42" i="1"/>
  <c r="I43" i="1"/>
  <c r="I44" i="1"/>
  <c r="I45" i="1"/>
  <c r="I46" i="1"/>
  <c r="I47" i="1"/>
  <c r="I37" i="1"/>
  <c r="I24" i="1"/>
  <c r="A24" i="1"/>
  <c r="A31" i="1"/>
  <c r="A32" i="1"/>
  <c r="I25" i="1"/>
  <c r="I26" i="1"/>
  <c r="I27" i="1"/>
  <c r="I28" i="1"/>
  <c r="I29" i="1"/>
  <c r="I30" i="1"/>
  <c r="I31" i="1"/>
  <c r="I32" i="1"/>
  <c r="A23" i="1"/>
  <c r="A25" i="1"/>
  <c r="A26" i="1"/>
  <c r="A27" i="1"/>
  <c r="A28" i="1"/>
  <c r="A29" i="1"/>
  <c r="A30" i="1"/>
  <c r="A22" i="1"/>
  <c r="I23" i="1"/>
  <c r="I22" i="1"/>
  <c r="I17" i="1"/>
  <c r="I16" i="1"/>
  <c r="I15" i="1"/>
  <c r="I8" i="1"/>
  <c r="I9" i="1"/>
  <c r="I10" i="1"/>
  <c r="I11" i="1"/>
  <c r="I12" i="1"/>
  <c r="I13" i="1"/>
  <c r="I14" i="1"/>
  <c r="I7" i="1"/>
</calcChain>
</file>

<file path=xl/sharedStrings.xml><?xml version="1.0" encoding="utf-8"?>
<sst xmlns="http://schemas.openxmlformats.org/spreadsheetml/2006/main" count="70" uniqueCount="31">
  <si>
    <t>DATASET #3</t>
  </si>
  <si>
    <t>order</t>
  </si>
  <si>
    <t>layers</t>
  </si>
  <si>
    <t>neuron/layer</t>
  </si>
  <si>
    <t>training RMSE</t>
  </si>
  <si>
    <t>validation RMSE</t>
  </si>
  <si>
    <t>validation FIT</t>
  </si>
  <si>
    <t>Ntrain</t>
  </si>
  <si>
    <t xml:space="preserve">Nvalid </t>
  </si>
  <si>
    <t># parameters</t>
  </si>
  <si>
    <t xml:space="preserve">time </t>
  </si>
  <si>
    <t>time/iter</t>
  </si>
  <si>
    <t>Polynomial WH model</t>
  </si>
  <si>
    <t>K=100</t>
  </si>
  <si>
    <t>K=10</t>
  </si>
  <si>
    <t>units/layer</t>
  </si>
  <si>
    <t>time/epoch</t>
  </si>
  <si>
    <t>iterations</t>
  </si>
  <si>
    <t>epochs</t>
  </si>
  <si>
    <t>NNOE network</t>
  </si>
  <si>
    <t xml:space="preserve">LSTM network </t>
  </si>
  <si>
    <t>NNOE Training: CMO algorithm (CPU)</t>
  </si>
  <si>
    <t>NNOE Validation</t>
  </si>
  <si>
    <t>LSTM Training: BPTT algorithm (GPU)</t>
  </si>
  <si>
    <t>LSTM Validation</t>
  </si>
  <si>
    <t xml:space="preserve">GRU network </t>
  </si>
  <si>
    <t>GRU Training: BPTT algorithm (GPU)</t>
  </si>
  <si>
    <t>GRU Validation</t>
  </si>
  <si>
    <t>NNARX network</t>
  </si>
  <si>
    <t>NNARX Validation</t>
  </si>
  <si>
    <t xml:space="preserve">NNARX Training: BP algorithm (GPU)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</si>
</sst>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6"/>
      <color rgb="FFFFFFFF"/>
      <name val="Calibri"/>
      <family val="2"/>
      <scheme val="minor"/>
    </font>
    <font>
      <sz val="2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auto="1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30">
    <xf numFmtId="0" fontId="0" fillId="0" borderId="0" xfId="0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0" fontId="2" fillId="2" borderId="0" xfId="1" applyNumberFormat="1" applyFont="1" applyFill="1" applyBorder="1" applyAlignment="1">
      <alignment horizontal="center"/>
    </xf>
    <xf numFmtId="0" fontId="7" fillId="3" borderId="4" xfId="2" applyBorder="1" applyAlignment="1">
      <alignment horizontal="center"/>
    </xf>
    <xf numFmtId="0" fontId="7" fillId="3" borderId="0" xfId="2" applyBorder="1" applyAlignment="1">
      <alignment horizontal="center"/>
    </xf>
    <xf numFmtId="164" fontId="7" fillId="3" borderId="0" xfId="2" applyNumberFormat="1" applyBorder="1" applyAlignment="1">
      <alignment horizontal="center"/>
    </xf>
    <xf numFmtId="10" fontId="7" fillId="3" borderId="0" xfId="2" applyNumberFormat="1" applyBorder="1" applyAlignment="1">
      <alignment horizontal="center"/>
    </xf>
    <xf numFmtId="165" fontId="7" fillId="3" borderId="0" xfId="2" applyNumberFormat="1" applyBorder="1" applyAlignment="1">
      <alignment horizontal="center"/>
    </xf>
    <xf numFmtId="164" fontId="7" fillId="3" borderId="4" xfId="2" applyNumberFormat="1" applyBorder="1" applyAlignment="1">
      <alignment horizontal="center"/>
    </xf>
    <xf numFmtId="10" fontId="7" fillId="3" borderId="5" xfId="2" applyNumberFormat="1" applyBorder="1" applyAlignment="1">
      <alignment horizontal="center"/>
    </xf>
    <xf numFmtId="0" fontId="2" fillId="2" borderId="0" xfId="0" applyFont="1" applyFill="1"/>
    <xf numFmtId="0" fontId="5" fillId="2" borderId="0" xfId="0" applyFont="1" applyFill="1"/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7" fillId="3" borderId="5" xfId="2" applyBorder="1" applyAlignment="1">
      <alignment horizontal="center"/>
    </xf>
    <xf numFmtId="0" fontId="7" fillId="3" borderId="1" xfId="2" applyBorder="1" applyAlignment="1">
      <alignment horizontal="center"/>
    </xf>
    <xf numFmtId="0" fontId="7" fillId="3" borderId="2" xfId="2" applyBorder="1" applyAlignment="1">
      <alignment horizontal="center"/>
    </xf>
    <xf numFmtId="0" fontId="7" fillId="3" borderId="3" xfId="2" applyBorder="1" applyAlignment="1">
      <alignment horizontal="center"/>
    </xf>
    <xf numFmtId="164" fontId="7" fillId="3" borderId="2" xfId="2" applyNumberFormat="1" applyBorder="1" applyAlignment="1">
      <alignment horizontal="center"/>
    </xf>
    <xf numFmtId="2" fontId="7" fillId="3" borderId="2" xfId="2" applyNumberFormat="1" applyBorder="1" applyAlignment="1">
      <alignment horizontal="center"/>
    </xf>
    <xf numFmtId="164" fontId="7" fillId="3" borderId="1" xfId="2" applyNumberFormat="1" applyBorder="1" applyAlignment="1">
      <alignment horizontal="center"/>
    </xf>
    <xf numFmtId="10" fontId="7" fillId="3" borderId="2" xfId="2" applyNumberFormat="1" applyBorder="1" applyAlignment="1">
      <alignment horizontal="center"/>
    </xf>
    <xf numFmtId="10" fontId="7" fillId="3" borderId="3" xfId="2" applyNumberFormat="1" applyBorder="1" applyAlignment="1">
      <alignment horizontal="center"/>
    </xf>
    <xf numFmtId="0" fontId="4" fillId="2" borderId="0" xfId="0" applyFont="1" applyFill="1"/>
    <xf numFmtId="164" fontId="2" fillId="5" borderId="0" xfId="3" applyNumberFormat="1" applyFont="1" applyFill="1" applyBorder="1" applyAlignment="1">
      <alignment horizontal="center"/>
    </xf>
    <xf numFmtId="2" fontId="2" fillId="5" borderId="0" xfId="3" applyNumberFormat="1" applyFont="1" applyFill="1" applyBorder="1" applyAlignment="1">
      <alignment horizontal="center"/>
    </xf>
    <xf numFmtId="10" fontId="2" fillId="5" borderId="0" xfId="3" applyNumberFormat="1" applyFont="1" applyFill="1" applyBorder="1" applyAlignment="1">
      <alignment horizontal="center"/>
    </xf>
    <xf numFmtId="2" fontId="7" fillId="3" borderId="0" xfId="2" applyNumberFormat="1" applyBorder="1" applyAlignment="1">
      <alignment horizontal="center"/>
    </xf>
    <xf numFmtId="164" fontId="7" fillId="3" borderId="0" xfId="2" applyNumberFormat="1" applyAlignment="1">
      <alignment horizontal="center"/>
    </xf>
    <xf numFmtId="0" fontId="2" fillId="5" borderId="0" xfId="2" applyFont="1" applyFill="1" applyBorder="1" applyAlignment="1">
      <alignment horizontal="center"/>
    </xf>
    <xf numFmtId="164" fontId="2" fillId="5" borderId="0" xfId="2" applyNumberFormat="1" applyFont="1" applyFill="1" applyBorder="1" applyAlignment="1">
      <alignment horizontal="center"/>
    </xf>
    <xf numFmtId="10" fontId="2" fillId="5" borderId="0" xfId="2" applyNumberFormat="1" applyFont="1" applyFill="1" applyBorder="1" applyAlignment="1">
      <alignment horizontal="center"/>
    </xf>
    <xf numFmtId="1" fontId="7" fillId="3" borderId="2" xfId="2" applyNumberFormat="1" applyBorder="1" applyAlignment="1">
      <alignment horizontal="center"/>
    </xf>
    <xf numFmtId="1" fontId="7" fillId="3" borderId="0" xfId="2" applyNumberForma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5" borderId="0" xfId="2" applyNumberFormat="1" applyFont="1" applyFill="1" applyBorder="1" applyAlignment="1">
      <alignment horizontal="center"/>
    </xf>
    <xf numFmtId="165" fontId="2" fillId="5" borderId="0" xfId="3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5" xfId="0" applyFont="1" applyFill="1" applyBorder="1" applyAlignment="1">
      <alignment horizontal="center"/>
    </xf>
    <xf numFmtId="164" fontId="11" fillId="6" borderId="0" xfId="0" applyNumberFormat="1" applyFont="1" applyFill="1" applyAlignment="1">
      <alignment horizontal="center"/>
    </xf>
    <xf numFmtId="2" fontId="11" fillId="6" borderId="0" xfId="0" applyNumberFormat="1" applyFont="1" applyFill="1" applyAlignment="1">
      <alignment horizontal="center"/>
    </xf>
    <xf numFmtId="165" fontId="11" fillId="6" borderId="0" xfId="0" applyNumberFormat="1" applyFont="1" applyFill="1" applyAlignment="1">
      <alignment horizontal="center"/>
    </xf>
    <xf numFmtId="164" fontId="11" fillId="6" borderId="4" xfId="0" applyNumberFormat="1" applyFont="1" applyFill="1" applyBorder="1" applyAlignment="1">
      <alignment horizontal="center"/>
    </xf>
    <xf numFmtId="10" fontId="11" fillId="6" borderId="0" xfId="0" applyNumberFormat="1" applyFont="1" applyFill="1" applyAlignment="1">
      <alignment horizontal="center"/>
    </xf>
    <xf numFmtId="10" fontId="11" fillId="6" borderId="5" xfId="0" applyNumberFormat="1" applyFont="1" applyFill="1" applyBorder="1" applyAlignment="1">
      <alignment horizontal="center"/>
    </xf>
    <xf numFmtId="10" fontId="11" fillId="6" borderId="0" xfId="1" applyNumberFormat="1" applyFont="1" applyFill="1" applyBorder="1" applyAlignment="1">
      <alignment horizontal="center"/>
    </xf>
    <xf numFmtId="10" fontId="11" fillId="6" borderId="5" xfId="1" applyNumberFormat="1" applyFont="1" applyFill="1" applyBorder="1" applyAlignment="1">
      <alignment horizontal="center"/>
    </xf>
    <xf numFmtId="0" fontId="11" fillId="6" borderId="4" xfId="3" applyFont="1" applyFill="1" applyBorder="1" applyAlignment="1">
      <alignment horizontal="center"/>
    </xf>
    <xf numFmtId="0" fontId="11" fillId="6" borderId="0" xfId="3" applyFont="1" applyFill="1" applyBorder="1" applyAlignment="1">
      <alignment horizontal="center"/>
    </xf>
    <xf numFmtId="0" fontId="11" fillId="6" borderId="5" xfId="3" applyFont="1" applyFill="1" applyBorder="1" applyAlignment="1">
      <alignment horizontal="center"/>
    </xf>
    <xf numFmtId="164" fontId="11" fillId="6" borderId="0" xfId="3" applyNumberFormat="1" applyFont="1" applyFill="1" applyBorder="1" applyAlignment="1">
      <alignment horizontal="center"/>
    </xf>
    <xf numFmtId="2" fontId="11" fillId="6" borderId="0" xfId="3" applyNumberFormat="1" applyFont="1" applyFill="1" applyBorder="1" applyAlignment="1">
      <alignment horizontal="center"/>
    </xf>
    <xf numFmtId="165" fontId="11" fillId="6" borderId="0" xfId="3" applyNumberFormat="1" applyFont="1" applyFill="1" applyBorder="1" applyAlignment="1">
      <alignment horizontal="center"/>
    </xf>
    <xf numFmtId="164" fontId="11" fillId="6" borderId="4" xfId="3" applyNumberFormat="1" applyFont="1" applyFill="1" applyBorder="1" applyAlignment="1">
      <alignment horizontal="center"/>
    </xf>
    <xf numFmtId="10" fontId="11" fillId="6" borderId="0" xfId="3" applyNumberFormat="1" applyFont="1" applyFill="1" applyBorder="1" applyAlignment="1">
      <alignment horizontal="center"/>
    </xf>
    <xf numFmtId="10" fontId="11" fillId="6" borderId="5" xfId="3" applyNumberFormat="1" applyFont="1" applyFill="1" applyBorder="1" applyAlignment="1">
      <alignment horizontal="center"/>
    </xf>
    <xf numFmtId="0" fontId="11" fillId="6" borderId="6" xfId="2" applyFont="1" applyFill="1" applyBorder="1" applyAlignment="1">
      <alignment horizontal="center"/>
    </xf>
    <xf numFmtId="0" fontId="11" fillId="6" borderId="7" xfId="2" applyFont="1" applyFill="1" applyBorder="1" applyAlignment="1">
      <alignment horizontal="center"/>
    </xf>
    <xf numFmtId="0" fontId="11" fillId="6" borderId="8" xfId="2" applyFont="1" applyFill="1" applyBorder="1" applyAlignment="1">
      <alignment horizontal="center"/>
    </xf>
    <xf numFmtId="164" fontId="11" fillId="6" borderId="7" xfId="2" applyNumberFormat="1" applyFont="1" applyFill="1" applyBorder="1" applyAlignment="1">
      <alignment horizontal="center"/>
    </xf>
    <xf numFmtId="165" fontId="11" fillId="6" borderId="7" xfId="2" applyNumberFormat="1" applyFont="1" applyFill="1" applyBorder="1" applyAlignment="1">
      <alignment horizontal="center"/>
    </xf>
    <xf numFmtId="164" fontId="11" fillId="6" borderId="6" xfId="2" applyNumberFormat="1" applyFont="1" applyFill="1" applyBorder="1" applyAlignment="1">
      <alignment horizontal="center"/>
    </xf>
    <xf numFmtId="10" fontId="11" fillId="6" borderId="7" xfId="2" applyNumberFormat="1" applyFont="1" applyFill="1" applyBorder="1" applyAlignment="1">
      <alignment horizontal="center"/>
    </xf>
    <xf numFmtId="10" fontId="11" fillId="6" borderId="8" xfId="2" applyNumberFormat="1" applyFont="1" applyFill="1" applyBorder="1" applyAlignment="1">
      <alignment horizontal="center"/>
    </xf>
    <xf numFmtId="0" fontId="11" fillId="6" borderId="4" xfId="2" applyFont="1" applyFill="1" applyBorder="1" applyAlignment="1">
      <alignment horizontal="center"/>
    </xf>
    <xf numFmtId="0" fontId="11" fillId="6" borderId="0" xfId="2" applyFont="1" applyFill="1" applyBorder="1" applyAlignment="1">
      <alignment horizontal="center"/>
    </xf>
    <xf numFmtId="0" fontId="11" fillId="6" borderId="5" xfId="2" applyFont="1" applyFill="1" applyBorder="1" applyAlignment="1">
      <alignment horizontal="center"/>
    </xf>
    <xf numFmtId="164" fontId="11" fillId="6" borderId="0" xfId="2" applyNumberFormat="1" applyFont="1" applyFill="1" applyBorder="1" applyAlignment="1">
      <alignment horizontal="center"/>
    </xf>
    <xf numFmtId="164" fontId="11" fillId="6" borderId="4" xfId="2" applyNumberFormat="1" applyFont="1" applyFill="1" applyBorder="1" applyAlignment="1">
      <alignment horizontal="center"/>
    </xf>
    <xf numFmtId="10" fontId="11" fillId="6" borderId="0" xfId="2" applyNumberFormat="1" applyFont="1" applyFill="1" applyBorder="1" applyAlignment="1">
      <alignment horizontal="center"/>
    </xf>
    <xf numFmtId="10" fontId="11" fillId="6" borderId="5" xfId="2" applyNumberFormat="1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164" fontId="11" fillId="6" borderId="7" xfId="0" applyNumberFormat="1" applyFont="1" applyFill="1" applyBorder="1" applyAlignment="1">
      <alignment horizontal="center"/>
    </xf>
    <xf numFmtId="2" fontId="11" fillId="6" borderId="7" xfId="0" applyNumberFormat="1" applyFont="1" applyFill="1" applyBorder="1" applyAlignment="1">
      <alignment horizontal="center"/>
    </xf>
    <xf numFmtId="165" fontId="11" fillId="6" borderId="7" xfId="0" applyNumberFormat="1" applyFont="1" applyFill="1" applyBorder="1" applyAlignment="1">
      <alignment horizontal="center"/>
    </xf>
    <xf numFmtId="164" fontId="11" fillId="6" borderId="6" xfId="0" applyNumberFormat="1" applyFont="1" applyFill="1" applyBorder="1" applyAlignment="1">
      <alignment horizontal="center"/>
    </xf>
    <xf numFmtId="10" fontId="11" fillId="6" borderId="7" xfId="0" applyNumberFormat="1" applyFont="1" applyFill="1" applyBorder="1" applyAlignment="1">
      <alignment horizontal="center"/>
    </xf>
    <xf numFmtId="10" fontId="11" fillId="6" borderId="8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164" fontId="11" fillId="6" borderId="2" xfId="0" applyNumberFormat="1" applyFont="1" applyFill="1" applyBorder="1" applyAlignment="1">
      <alignment horizontal="center"/>
    </xf>
    <xf numFmtId="2" fontId="11" fillId="6" borderId="2" xfId="0" applyNumberFormat="1" applyFont="1" applyFill="1" applyBorder="1" applyAlignment="1">
      <alignment horizontal="center"/>
    </xf>
    <xf numFmtId="165" fontId="11" fillId="6" borderId="2" xfId="0" applyNumberFormat="1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0" fontId="11" fillId="6" borderId="2" xfId="1" applyNumberFormat="1" applyFont="1" applyFill="1" applyBorder="1" applyAlignment="1">
      <alignment horizontal="center"/>
    </xf>
    <xf numFmtId="10" fontId="11" fillId="6" borderId="3" xfId="1" applyNumberFormat="1" applyFont="1" applyFill="1" applyBorder="1" applyAlignment="1">
      <alignment horizontal="center"/>
    </xf>
    <xf numFmtId="165" fontId="11" fillId="6" borderId="8" xfId="0" applyNumberFormat="1" applyFont="1" applyFill="1" applyBorder="1" applyAlignment="1">
      <alignment horizontal="center"/>
    </xf>
    <xf numFmtId="10" fontId="11" fillId="6" borderId="7" xfId="1" applyNumberFormat="1" applyFont="1" applyFill="1" applyBorder="1" applyAlignment="1">
      <alignment horizontal="center"/>
    </xf>
    <xf numFmtId="10" fontId="11" fillId="6" borderId="8" xfId="1" applyNumberFormat="1" applyFont="1" applyFill="1" applyBorder="1" applyAlignment="1">
      <alignment horizontal="center"/>
    </xf>
    <xf numFmtId="0" fontId="11" fillId="6" borderId="10" xfId="0" applyFont="1" applyFill="1" applyBorder="1"/>
    <xf numFmtId="0" fontId="11" fillId="6" borderId="11" xfId="0" applyFont="1" applyFill="1" applyBorder="1"/>
    <xf numFmtId="1" fontId="11" fillId="6" borderId="0" xfId="0" applyNumberFormat="1" applyFont="1" applyFill="1" applyAlignment="1">
      <alignment horizontal="center"/>
    </xf>
    <xf numFmtId="1" fontId="11" fillId="6" borderId="0" xfId="3" applyNumberFormat="1" applyFont="1" applyFill="1" applyBorder="1" applyAlignment="1">
      <alignment horizontal="center"/>
    </xf>
    <xf numFmtId="1" fontId="11" fillId="6" borderId="7" xfId="0" applyNumberFormat="1" applyFont="1" applyFill="1" applyBorder="1" applyAlignment="1">
      <alignment horizontal="center"/>
    </xf>
    <xf numFmtId="0" fontId="11" fillId="6" borderId="2" xfId="2" applyFont="1" applyFill="1" applyBorder="1" applyAlignment="1">
      <alignment horizontal="center"/>
    </xf>
    <xf numFmtId="0" fontId="11" fillId="6" borderId="3" xfId="2" applyFont="1" applyFill="1" applyBorder="1" applyAlignment="1">
      <alignment horizontal="center"/>
    </xf>
    <xf numFmtId="164" fontId="11" fillId="6" borderId="2" xfId="2" applyNumberFormat="1" applyFont="1" applyFill="1" applyBorder="1" applyAlignment="1">
      <alignment horizontal="center"/>
    </xf>
    <xf numFmtId="2" fontId="11" fillId="6" borderId="2" xfId="2" applyNumberFormat="1" applyFont="1" applyFill="1" applyBorder="1" applyAlignment="1">
      <alignment horizontal="center"/>
    </xf>
    <xf numFmtId="164" fontId="11" fillId="6" borderId="1" xfId="2" applyNumberFormat="1" applyFont="1" applyFill="1" applyBorder="1" applyAlignment="1">
      <alignment horizontal="center"/>
    </xf>
    <xf numFmtId="10" fontId="11" fillId="6" borderId="2" xfId="2" applyNumberFormat="1" applyFont="1" applyFill="1" applyBorder="1" applyAlignment="1">
      <alignment horizontal="center"/>
    </xf>
    <xf numFmtId="10" fontId="11" fillId="6" borderId="3" xfId="2" applyNumberFormat="1" applyFont="1" applyFill="1" applyBorder="1" applyAlignment="1">
      <alignment horizontal="center"/>
    </xf>
    <xf numFmtId="2" fontId="11" fillId="6" borderId="0" xfId="2" applyNumberFormat="1" applyFont="1" applyFill="1" applyBorder="1" applyAlignment="1">
      <alignment horizontal="center"/>
    </xf>
    <xf numFmtId="0" fontId="11" fillId="6" borderId="6" xfId="3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center"/>
    </xf>
    <xf numFmtId="2" fontId="11" fillId="6" borderId="7" xfId="2" applyNumberFormat="1" applyFont="1" applyFill="1" applyBorder="1" applyAlignment="1">
      <alignment horizontal="center"/>
    </xf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rgbClr val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zoomScale="98" zoomScaleNormal="98" workbookViewId="0">
      <selection activeCell="H16" sqref="H16"/>
    </sheetView>
  </sheetViews>
  <sheetFormatPr defaultRowHeight="15" x14ac:dyDescent="0.25"/>
  <cols>
    <col min="1" max="1" width="10" style="1" customWidth="1"/>
    <col min="2" max="2" width="9.140625" style="1"/>
    <col min="3" max="4" width="14.7109375" style="1" customWidth="1"/>
    <col min="5" max="5" width="23.7109375" style="1" customWidth="1"/>
    <col min="6" max="6" width="19.85546875" style="1" customWidth="1"/>
    <col min="7" max="7" width="14.42578125" style="1" customWidth="1"/>
    <col min="8" max="8" width="16.5703125" style="1" customWidth="1"/>
    <col min="9" max="9" width="15.5703125" style="1" customWidth="1"/>
    <col min="10" max="10" width="22.5703125" style="1" customWidth="1"/>
    <col min="11" max="11" width="21.28515625" style="1" customWidth="1"/>
    <col min="12" max="12" width="15.5703125" style="1" customWidth="1"/>
    <col min="13" max="13" width="16.5703125" style="1" customWidth="1"/>
    <col min="14" max="16384" width="9.140625" style="1"/>
  </cols>
  <sheetData>
    <row r="1" spans="1:14" ht="31.5" x14ac:dyDescent="0.5">
      <c r="A1" s="38" t="s">
        <v>0</v>
      </c>
      <c r="B1" s="38"/>
      <c r="C1" s="38"/>
      <c r="D1" s="38"/>
      <c r="E1" s="38"/>
      <c r="F1" s="38"/>
      <c r="G1" s="13"/>
      <c r="H1" s="13"/>
      <c r="I1" s="2"/>
    </row>
    <row r="2" spans="1:14" ht="21" x14ac:dyDescent="0.35">
      <c r="A2" s="3" t="s">
        <v>7</v>
      </c>
      <c r="B2" s="3">
        <v>3500</v>
      </c>
      <c r="D2" s="3" t="s">
        <v>8</v>
      </c>
      <c r="E2" s="3">
        <v>5000</v>
      </c>
      <c r="F2" s="25" t="s">
        <v>12</v>
      </c>
      <c r="G2" s="12"/>
      <c r="H2" s="12"/>
    </row>
    <row r="4" spans="1:14" ht="18.75" customHeight="1" x14ac:dyDescent="0.25">
      <c r="A4" s="49" t="s">
        <v>19</v>
      </c>
      <c r="B4" s="50"/>
      <c r="C4" s="50"/>
      <c r="D4" s="51"/>
      <c r="E4" s="49" t="s">
        <v>21</v>
      </c>
      <c r="F4" s="50"/>
      <c r="G4" s="50"/>
      <c r="H4" s="50"/>
      <c r="I4" s="51"/>
      <c r="J4" s="49" t="s">
        <v>22</v>
      </c>
      <c r="K4" s="50"/>
      <c r="L4" s="50"/>
      <c r="M4" s="51"/>
      <c r="N4" s="36" t="s">
        <v>13</v>
      </c>
    </row>
    <row r="5" spans="1:14" ht="15" customHeight="1" x14ac:dyDescent="0.25">
      <c r="A5" s="52"/>
      <c r="B5" s="53"/>
      <c r="C5" s="53"/>
      <c r="D5" s="54"/>
      <c r="E5" s="52"/>
      <c r="F5" s="53"/>
      <c r="G5" s="53"/>
      <c r="H5" s="53"/>
      <c r="I5" s="54"/>
      <c r="J5" s="52"/>
      <c r="K5" s="53"/>
      <c r="L5" s="53"/>
      <c r="M5" s="54"/>
      <c r="N5" s="37"/>
    </row>
    <row r="6" spans="1:14" ht="15.75" x14ac:dyDescent="0.25">
      <c r="A6" s="55" t="s">
        <v>1</v>
      </c>
      <c r="B6" s="56" t="s">
        <v>2</v>
      </c>
      <c r="C6" s="56" t="s">
        <v>3</v>
      </c>
      <c r="D6" s="57" t="s">
        <v>9</v>
      </c>
      <c r="E6" s="56" t="s">
        <v>4</v>
      </c>
      <c r="F6" s="56" t="s">
        <v>4</v>
      </c>
      <c r="G6" s="56" t="s">
        <v>17</v>
      </c>
      <c r="H6" s="56" t="s">
        <v>10</v>
      </c>
      <c r="I6" s="56" t="s">
        <v>11</v>
      </c>
      <c r="J6" s="55" t="s">
        <v>5</v>
      </c>
      <c r="K6" s="56" t="s">
        <v>5</v>
      </c>
      <c r="L6" s="56" t="s">
        <v>6</v>
      </c>
      <c r="M6" s="57" t="s">
        <v>6</v>
      </c>
      <c r="N6" s="37"/>
    </row>
    <row r="7" spans="1:14" x14ac:dyDescent="0.25">
      <c r="A7" s="58">
        <v>3</v>
      </c>
      <c r="B7" s="59">
        <v>1</v>
      </c>
      <c r="C7" s="59">
        <v>5</v>
      </c>
      <c r="D7" s="60">
        <v>87</v>
      </c>
      <c r="E7" s="61">
        <v>0.46672239999999998</v>
      </c>
      <c r="F7" s="61">
        <v>0.31414900000000001</v>
      </c>
      <c r="G7" s="59">
        <v>320</v>
      </c>
      <c r="H7" s="62">
        <v>514.18799999999999</v>
      </c>
      <c r="I7" s="63">
        <f t="shared" ref="I7:I17" si="0">H7/G7</f>
        <v>1.6068374999999999</v>
      </c>
      <c r="J7" s="64">
        <v>0.28161589999999997</v>
      </c>
      <c r="K7" s="61">
        <v>0.267036</v>
      </c>
      <c r="L7" s="65">
        <v>0.86029509999999998</v>
      </c>
      <c r="M7" s="66">
        <v>0.82999610000000001</v>
      </c>
      <c r="N7" s="37"/>
    </row>
    <row r="8" spans="1:14" x14ac:dyDescent="0.25">
      <c r="A8" s="58">
        <v>3</v>
      </c>
      <c r="B8" s="59">
        <v>1</v>
      </c>
      <c r="C8" s="59">
        <v>8</v>
      </c>
      <c r="D8" s="60">
        <v>138</v>
      </c>
      <c r="E8" s="61">
        <v>0.44109579999999998</v>
      </c>
      <c r="F8" s="61">
        <v>0.2979443</v>
      </c>
      <c r="G8" s="59">
        <v>285</v>
      </c>
      <c r="H8" s="59">
        <v>633.59</v>
      </c>
      <c r="I8" s="63">
        <f t="shared" si="0"/>
        <v>2.2231228070175439</v>
      </c>
      <c r="J8" s="64">
        <v>0.45568510000000001</v>
      </c>
      <c r="K8" s="61">
        <v>0.35280450000000002</v>
      </c>
      <c r="L8" s="67">
        <v>0.77394220000000002</v>
      </c>
      <c r="M8" s="68">
        <v>0.77539309999999995</v>
      </c>
      <c r="N8" s="37"/>
    </row>
    <row r="9" spans="1:14" x14ac:dyDescent="0.25">
      <c r="A9" s="69">
        <v>3</v>
      </c>
      <c r="B9" s="70">
        <v>1</v>
      </c>
      <c r="C9" s="70">
        <v>10</v>
      </c>
      <c r="D9" s="71">
        <v>172</v>
      </c>
      <c r="E9" s="72">
        <v>0.3534545</v>
      </c>
      <c r="F9" s="72">
        <v>2.9549840000000001E-2</v>
      </c>
      <c r="G9" s="70">
        <v>500</v>
      </c>
      <c r="H9" s="73">
        <v>817.80529999999999</v>
      </c>
      <c r="I9" s="74">
        <f t="shared" si="0"/>
        <v>1.6356105999999999</v>
      </c>
      <c r="J9" s="75">
        <v>0.11326170000000001</v>
      </c>
      <c r="K9" s="72">
        <v>8.6409050000000001E-2</v>
      </c>
      <c r="L9" s="76">
        <v>0.94381280000000001</v>
      </c>
      <c r="M9" s="77">
        <v>0.94498919999999997</v>
      </c>
      <c r="N9" s="37"/>
    </row>
    <row r="10" spans="1:14" x14ac:dyDescent="0.25">
      <c r="A10" s="78">
        <v>3</v>
      </c>
      <c r="B10" s="79">
        <v>1</v>
      </c>
      <c r="C10" s="79">
        <v>15</v>
      </c>
      <c r="D10" s="80">
        <v>257</v>
      </c>
      <c r="E10" s="81">
        <v>0.353217</v>
      </c>
      <c r="F10" s="81">
        <v>2.5152259999999999E-2</v>
      </c>
      <c r="G10" s="79">
        <v>420</v>
      </c>
      <c r="H10" s="79">
        <v>703.28</v>
      </c>
      <c r="I10" s="82">
        <f t="shared" si="0"/>
        <v>1.6744761904761905</v>
      </c>
      <c r="J10" s="83">
        <v>0.1144647</v>
      </c>
      <c r="K10" s="81">
        <v>9.2455469999999998E-2</v>
      </c>
      <c r="L10" s="84">
        <v>0.94321600000000005</v>
      </c>
      <c r="M10" s="85">
        <v>0.94113979999999997</v>
      </c>
      <c r="N10" s="37"/>
    </row>
    <row r="11" spans="1:14" x14ac:dyDescent="0.25">
      <c r="A11" s="58">
        <v>3</v>
      </c>
      <c r="B11" s="59">
        <v>2</v>
      </c>
      <c r="C11" s="59">
        <v>3</v>
      </c>
      <c r="D11" s="60">
        <v>65</v>
      </c>
      <c r="E11" s="61">
        <v>0.38803690000000002</v>
      </c>
      <c r="F11" s="61">
        <v>0.17330480000000001</v>
      </c>
      <c r="G11" s="59">
        <v>300</v>
      </c>
      <c r="H11" s="62">
        <v>474.928</v>
      </c>
      <c r="I11" s="63">
        <f t="shared" si="0"/>
        <v>1.5830933333333332</v>
      </c>
      <c r="J11" s="64">
        <v>0.16217719999999999</v>
      </c>
      <c r="K11" s="61">
        <v>0.2077794</v>
      </c>
      <c r="L11" s="65">
        <v>0.91954659999999999</v>
      </c>
      <c r="M11" s="66">
        <v>0.86772079999999996</v>
      </c>
      <c r="N11" s="37"/>
    </row>
    <row r="12" spans="1:14" x14ac:dyDescent="0.25">
      <c r="A12" s="5">
        <v>3</v>
      </c>
      <c r="B12" s="6">
        <v>2</v>
      </c>
      <c r="C12" s="6">
        <v>5</v>
      </c>
      <c r="D12" s="16">
        <v>117</v>
      </c>
      <c r="E12" s="7">
        <v>0.35495480000000001</v>
      </c>
      <c r="F12" s="7">
        <v>7.2843749999999999E-2</v>
      </c>
      <c r="G12" s="6">
        <v>360</v>
      </c>
      <c r="H12" s="6">
        <v>585.41999999999996</v>
      </c>
      <c r="I12" s="9">
        <f t="shared" si="0"/>
        <v>1.6261666666666665</v>
      </c>
      <c r="J12" s="10">
        <v>9.9387329999999996E-2</v>
      </c>
      <c r="K12" s="7">
        <v>0.1070914</v>
      </c>
      <c r="L12" s="8">
        <v>0.95069559999999997</v>
      </c>
      <c r="M12" s="11">
        <v>0.93182209999999999</v>
      </c>
      <c r="N12" s="37"/>
    </row>
    <row r="13" spans="1:14" x14ac:dyDescent="0.25">
      <c r="A13" s="58">
        <v>3</v>
      </c>
      <c r="B13" s="59">
        <v>2</v>
      </c>
      <c r="C13" s="59">
        <v>7</v>
      </c>
      <c r="D13" s="60">
        <v>177</v>
      </c>
      <c r="E13" s="61">
        <v>0.49792320000000001</v>
      </c>
      <c r="F13" s="61">
        <v>0.27638780000000002</v>
      </c>
      <c r="G13" s="59">
        <v>480</v>
      </c>
      <c r="H13" s="59">
        <v>777.75</v>
      </c>
      <c r="I13" s="63">
        <f t="shared" si="0"/>
        <v>1.6203125</v>
      </c>
      <c r="J13" s="64">
        <v>0.294159</v>
      </c>
      <c r="K13" s="61">
        <v>0.17179249999999999</v>
      </c>
      <c r="L13" s="65">
        <v>0.85407259999999996</v>
      </c>
      <c r="M13" s="66">
        <v>0.89063130000000001</v>
      </c>
      <c r="N13" s="37"/>
    </row>
    <row r="14" spans="1:14" x14ac:dyDescent="0.25">
      <c r="A14" s="93">
        <v>3</v>
      </c>
      <c r="B14" s="94">
        <v>2</v>
      </c>
      <c r="C14" s="94">
        <v>10</v>
      </c>
      <c r="D14" s="95">
        <v>282</v>
      </c>
      <c r="E14" s="96">
        <v>0.35413060000000002</v>
      </c>
      <c r="F14" s="96">
        <v>2.5467920000000002E-2</v>
      </c>
      <c r="G14" s="94">
        <v>500</v>
      </c>
      <c r="H14" s="97">
        <v>826.18557199999998</v>
      </c>
      <c r="I14" s="98">
        <f t="shared" si="0"/>
        <v>1.652371144</v>
      </c>
      <c r="J14" s="99">
        <v>0.1188124</v>
      </c>
      <c r="K14" s="96">
        <v>0.1096654</v>
      </c>
      <c r="L14" s="100">
        <v>0.94105919999999998</v>
      </c>
      <c r="M14" s="101">
        <v>0.93018339999999999</v>
      </c>
      <c r="N14" s="37"/>
    </row>
    <row r="15" spans="1:14" x14ac:dyDescent="0.25">
      <c r="A15" s="102">
        <v>3</v>
      </c>
      <c r="B15" s="103">
        <v>3</v>
      </c>
      <c r="C15" s="103">
        <v>3</v>
      </c>
      <c r="D15" s="104">
        <v>77</v>
      </c>
      <c r="E15" s="105">
        <v>0.40486230000000001</v>
      </c>
      <c r="F15" s="105">
        <v>0.18975149999999999</v>
      </c>
      <c r="G15" s="103">
        <v>260</v>
      </c>
      <c r="H15" s="106">
        <v>453.322</v>
      </c>
      <c r="I15" s="107">
        <f t="shared" si="0"/>
        <v>1.7435461538461539</v>
      </c>
      <c r="J15" s="108">
        <v>0.1493698</v>
      </c>
      <c r="K15" s="105">
        <v>0.19575380000000001</v>
      </c>
      <c r="L15" s="109">
        <v>0.9259001</v>
      </c>
      <c r="M15" s="110">
        <v>0.87537670000000001</v>
      </c>
      <c r="N15" s="37"/>
    </row>
    <row r="16" spans="1:14" x14ac:dyDescent="0.25">
      <c r="A16" s="58">
        <v>3</v>
      </c>
      <c r="B16" s="59">
        <v>3</v>
      </c>
      <c r="C16" s="59">
        <v>5</v>
      </c>
      <c r="D16" s="60">
        <v>147</v>
      </c>
      <c r="E16" s="61">
        <v>0.42467650000000001</v>
      </c>
      <c r="F16" s="61">
        <v>0.26833059999999997</v>
      </c>
      <c r="G16" s="59">
        <v>180</v>
      </c>
      <c r="H16" s="62">
        <v>438.12</v>
      </c>
      <c r="I16" s="63">
        <f t="shared" si="0"/>
        <v>2.4340000000000002</v>
      </c>
      <c r="J16" s="64">
        <v>0.26940930000000002</v>
      </c>
      <c r="K16" s="61">
        <v>0.29745880000000002</v>
      </c>
      <c r="L16" s="67">
        <v>0.86635050000000002</v>
      </c>
      <c r="M16" s="67">
        <v>0.81062800000000002</v>
      </c>
      <c r="N16" s="14" t="s">
        <v>14</v>
      </c>
    </row>
    <row r="17" spans="1:14" x14ac:dyDescent="0.25">
      <c r="A17" s="93">
        <v>3</v>
      </c>
      <c r="B17" s="94">
        <v>3</v>
      </c>
      <c r="C17" s="94">
        <v>7</v>
      </c>
      <c r="D17" s="95">
        <v>233</v>
      </c>
      <c r="E17" s="96">
        <v>0.69686079999999995</v>
      </c>
      <c r="F17" s="96">
        <v>0.73380489999999998</v>
      </c>
      <c r="G17" s="94">
        <v>140</v>
      </c>
      <c r="H17" s="97">
        <v>244.46799999999999</v>
      </c>
      <c r="I17" s="111">
        <f t="shared" si="0"/>
        <v>1.7462</v>
      </c>
      <c r="J17" s="99">
        <v>0.24520929999999999</v>
      </c>
      <c r="K17" s="96">
        <v>0.2377841</v>
      </c>
      <c r="L17" s="112">
        <v>0.87835580000000002</v>
      </c>
      <c r="M17" s="113">
        <v>0.84861889999999995</v>
      </c>
      <c r="N17" s="15"/>
    </row>
    <row r="18" spans="1:14" s="12" customFormat="1" x14ac:dyDescent="0.25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5"/>
    </row>
    <row r="19" spans="1:14" ht="18.75" customHeight="1" x14ac:dyDescent="0.25">
      <c r="A19" s="49" t="s">
        <v>20</v>
      </c>
      <c r="B19" s="50"/>
      <c r="C19" s="50"/>
      <c r="D19" s="51"/>
      <c r="E19" s="49" t="s">
        <v>23</v>
      </c>
      <c r="F19" s="50"/>
      <c r="G19" s="50"/>
      <c r="H19" s="50"/>
      <c r="I19" s="51"/>
      <c r="J19" s="49" t="s">
        <v>24</v>
      </c>
      <c r="K19" s="50"/>
      <c r="L19" s="50"/>
      <c r="M19" s="51"/>
      <c r="N19" s="39"/>
    </row>
    <row r="20" spans="1:14" ht="15" customHeight="1" x14ac:dyDescent="0.25">
      <c r="A20" s="52"/>
      <c r="B20" s="53"/>
      <c r="C20" s="53"/>
      <c r="D20" s="54"/>
      <c r="E20" s="52"/>
      <c r="F20" s="53"/>
      <c r="G20" s="53"/>
      <c r="H20" s="53"/>
      <c r="I20" s="54"/>
      <c r="J20" s="52"/>
      <c r="K20" s="53"/>
      <c r="L20" s="53"/>
      <c r="M20" s="54"/>
      <c r="N20" s="39"/>
    </row>
    <row r="21" spans="1:14" ht="15.75" x14ac:dyDescent="0.25">
      <c r="A21" s="55" t="s">
        <v>1</v>
      </c>
      <c r="B21" s="56" t="s">
        <v>2</v>
      </c>
      <c r="C21" s="56" t="s">
        <v>15</v>
      </c>
      <c r="D21" s="57" t="s">
        <v>9</v>
      </c>
      <c r="E21" s="56" t="s">
        <v>4</v>
      </c>
      <c r="F21" s="56" t="s">
        <v>4</v>
      </c>
      <c r="G21" s="56" t="s">
        <v>18</v>
      </c>
      <c r="H21" s="56" t="s">
        <v>10</v>
      </c>
      <c r="I21" s="56" t="s">
        <v>16</v>
      </c>
      <c r="J21" s="55" t="s">
        <v>5</v>
      </c>
      <c r="K21" s="56" t="s">
        <v>5</v>
      </c>
      <c r="L21" s="56" t="s">
        <v>6</v>
      </c>
      <c r="M21" s="57" t="s">
        <v>6</v>
      </c>
      <c r="N21" s="39"/>
    </row>
    <row r="22" spans="1:14" x14ac:dyDescent="0.25">
      <c r="A22" s="58">
        <f>2*C22*B22</f>
        <v>4</v>
      </c>
      <c r="B22" s="59">
        <v>1</v>
      </c>
      <c r="C22" s="59">
        <v>2</v>
      </c>
      <c r="D22" s="60">
        <v>46</v>
      </c>
      <c r="E22" s="61">
        <v>0.54754239721415598</v>
      </c>
      <c r="F22" s="61">
        <v>0.41636795608176602</v>
      </c>
      <c r="G22" s="116">
        <v>12000</v>
      </c>
      <c r="H22" s="62">
        <v>841.05279111862103</v>
      </c>
      <c r="I22" s="61">
        <f>H22/G22</f>
        <v>7.0087732593218419E-2</v>
      </c>
      <c r="J22" s="64">
        <v>0.62359261544595501</v>
      </c>
      <c r="K22" s="61">
        <v>0.76795172720493499</v>
      </c>
      <c r="L22" s="65">
        <v>0.69064613075889503</v>
      </c>
      <c r="M22" s="66">
        <v>0.51109681574024202</v>
      </c>
      <c r="N22" s="39"/>
    </row>
    <row r="23" spans="1:14" x14ac:dyDescent="0.25">
      <c r="A23" s="58">
        <f t="shared" ref="A23:A32" si="1">2*C23*B23</f>
        <v>6</v>
      </c>
      <c r="B23" s="59">
        <v>1</v>
      </c>
      <c r="C23" s="59">
        <v>3</v>
      </c>
      <c r="D23" s="60">
        <v>80</v>
      </c>
      <c r="E23" s="61">
        <v>0.414169582009842</v>
      </c>
      <c r="F23" s="61">
        <v>0.32069760678713899</v>
      </c>
      <c r="G23" s="116">
        <v>12000</v>
      </c>
      <c r="H23" s="62">
        <v>821.16575837135304</v>
      </c>
      <c r="I23" s="61">
        <f>H23/G23</f>
        <v>6.8430479864279414E-2</v>
      </c>
      <c r="J23" s="64">
        <v>0.58758687328638204</v>
      </c>
      <c r="K23" s="61">
        <v>0.62205208117918998</v>
      </c>
      <c r="L23" s="67">
        <v>0.708507977381303</v>
      </c>
      <c r="M23" s="68">
        <v>0.60398130183154397</v>
      </c>
      <c r="N23" s="39"/>
    </row>
    <row r="24" spans="1:14" x14ac:dyDescent="0.25">
      <c r="A24" s="58">
        <f t="shared" si="1"/>
        <v>8</v>
      </c>
      <c r="B24" s="59">
        <v>1</v>
      </c>
      <c r="C24" s="59">
        <v>4</v>
      </c>
      <c r="D24" s="60">
        <v>122</v>
      </c>
      <c r="E24" s="61">
        <v>0.23710506402390599</v>
      </c>
      <c r="F24" s="61">
        <v>0.18409044719444101</v>
      </c>
      <c r="G24" s="116">
        <v>12000</v>
      </c>
      <c r="H24" s="62">
        <v>1035.9992999999999</v>
      </c>
      <c r="I24" s="61">
        <f>H24/G24</f>
        <v>8.6333275000000001E-2</v>
      </c>
      <c r="J24" s="64">
        <v>0.42361053412411498</v>
      </c>
      <c r="K24" s="61">
        <v>0.27688743573522001</v>
      </c>
      <c r="L24" s="67">
        <v>0.78985389734150302</v>
      </c>
      <c r="M24" s="68">
        <v>0.82372440321845497</v>
      </c>
      <c r="N24" s="39"/>
    </row>
    <row r="25" spans="1:14" x14ac:dyDescent="0.25">
      <c r="A25" s="69">
        <f t="shared" si="1"/>
        <v>10</v>
      </c>
      <c r="B25" s="70">
        <v>1</v>
      </c>
      <c r="C25" s="70">
        <v>5</v>
      </c>
      <c r="D25" s="71">
        <v>172</v>
      </c>
      <c r="E25" s="72">
        <v>7.9333463521444797E-2</v>
      </c>
      <c r="F25" s="72">
        <v>7.8988433577363598E-2</v>
      </c>
      <c r="G25" s="117">
        <v>12000</v>
      </c>
      <c r="H25" s="73">
        <v>827.54181981086697</v>
      </c>
      <c r="I25" s="72">
        <f t="shared" ref="I25:I32" si="2">H25/G25</f>
        <v>6.896181831757224E-2</v>
      </c>
      <c r="J25" s="75">
        <v>0.38111109321634801</v>
      </c>
      <c r="K25" s="72">
        <v>0.214980735874305</v>
      </c>
      <c r="L25" s="76">
        <v>0.81093715932977894</v>
      </c>
      <c r="M25" s="77">
        <v>0.863136232916622</v>
      </c>
      <c r="N25" s="39"/>
    </row>
    <row r="26" spans="1:14" x14ac:dyDescent="0.25">
      <c r="A26" s="93">
        <f t="shared" si="1"/>
        <v>14</v>
      </c>
      <c r="B26" s="94">
        <v>1</v>
      </c>
      <c r="C26" s="94">
        <v>7</v>
      </c>
      <c r="D26" s="95">
        <v>296</v>
      </c>
      <c r="E26" s="96">
        <v>5.4538356022863103E-2</v>
      </c>
      <c r="F26" s="96">
        <v>5.0536064571900803E-2</v>
      </c>
      <c r="G26" s="118">
        <v>12000</v>
      </c>
      <c r="H26" s="97">
        <v>826.17364192008904</v>
      </c>
      <c r="I26" s="96">
        <f t="shared" si="2"/>
        <v>6.8847803493340756E-2</v>
      </c>
      <c r="J26" s="99">
        <v>0.36061349220218902</v>
      </c>
      <c r="K26" s="96">
        <v>0.26282056143526999</v>
      </c>
      <c r="L26" s="112">
        <v>0.82110567644628796</v>
      </c>
      <c r="M26" s="113">
        <v>0.832679835434042</v>
      </c>
      <c r="N26" s="39"/>
    </row>
    <row r="27" spans="1:14" x14ac:dyDescent="0.25">
      <c r="A27" s="17">
        <f t="shared" si="1"/>
        <v>8</v>
      </c>
      <c r="B27" s="18">
        <v>2</v>
      </c>
      <c r="C27" s="18">
        <v>2</v>
      </c>
      <c r="D27" s="19">
        <v>86</v>
      </c>
      <c r="E27" s="20">
        <v>0.27469931700568301</v>
      </c>
      <c r="F27" s="20">
        <v>0.21418500107187999</v>
      </c>
      <c r="G27" s="34">
        <v>12000</v>
      </c>
      <c r="H27" s="21">
        <v>1690.19181299</v>
      </c>
      <c r="I27" s="20">
        <f t="shared" si="2"/>
        <v>0.14084931774916667</v>
      </c>
      <c r="J27" s="22">
        <v>0.32538695303651299</v>
      </c>
      <c r="K27" s="20">
        <v>0.25124491162604701</v>
      </c>
      <c r="L27" s="23">
        <v>0.83858097349271299</v>
      </c>
      <c r="M27" s="24">
        <v>0.840049272667035</v>
      </c>
      <c r="N27" s="39"/>
    </row>
    <row r="28" spans="1:14" x14ac:dyDescent="0.25">
      <c r="A28" s="58">
        <f t="shared" si="1"/>
        <v>12</v>
      </c>
      <c r="B28" s="59">
        <v>2</v>
      </c>
      <c r="C28" s="59">
        <v>3</v>
      </c>
      <c r="D28" s="60">
        <v>164</v>
      </c>
      <c r="E28" s="61">
        <v>0.213140010432121</v>
      </c>
      <c r="F28" s="61">
        <v>0.16355294232859599</v>
      </c>
      <c r="G28" s="116">
        <v>12000</v>
      </c>
      <c r="H28" s="62">
        <v>3061.8823739999998</v>
      </c>
      <c r="I28" s="61">
        <f t="shared" si="2"/>
        <v>0.25515686449999997</v>
      </c>
      <c r="J28" s="64">
        <v>0.38581302928976402</v>
      </c>
      <c r="K28" s="61">
        <v>0.46066454589996197</v>
      </c>
      <c r="L28" s="67">
        <v>0.80860460746625995</v>
      </c>
      <c r="M28" s="68">
        <v>0.70672588473003795</v>
      </c>
      <c r="N28" s="39"/>
    </row>
    <row r="29" spans="1:14" x14ac:dyDescent="0.25">
      <c r="A29" s="58">
        <f t="shared" si="1"/>
        <v>16</v>
      </c>
      <c r="B29" s="59">
        <v>2</v>
      </c>
      <c r="C29" s="59">
        <v>4</v>
      </c>
      <c r="D29" s="60">
        <v>266</v>
      </c>
      <c r="E29" s="61">
        <v>0.17812597302647801</v>
      </c>
      <c r="F29" s="61">
        <v>0.15433153442964601</v>
      </c>
      <c r="G29" s="116">
        <v>12000</v>
      </c>
      <c r="H29" s="62">
        <v>2879.3690705200002</v>
      </c>
      <c r="I29" s="61">
        <f t="shared" si="2"/>
        <v>0.23994742254333334</v>
      </c>
      <c r="J29" s="64">
        <v>0.84673020125174603</v>
      </c>
      <c r="K29" s="61">
        <v>0.43914592568481298</v>
      </c>
      <c r="L29" s="67">
        <v>0.57995130559202701</v>
      </c>
      <c r="M29" s="68">
        <v>0.72042534209352704</v>
      </c>
      <c r="N29" s="39"/>
    </row>
    <row r="30" spans="1:14" x14ac:dyDescent="0.25">
      <c r="A30" s="93">
        <f t="shared" si="1"/>
        <v>20</v>
      </c>
      <c r="B30" s="94">
        <v>2</v>
      </c>
      <c r="C30" s="94">
        <v>5</v>
      </c>
      <c r="D30" s="95">
        <v>392</v>
      </c>
      <c r="E30" s="96">
        <v>0.186678283864505</v>
      </c>
      <c r="F30" s="96">
        <v>0.138997728996685</v>
      </c>
      <c r="G30" s="118">
        <v>12000</v>
      </c>
      <c r="H30" s="97">
        <v>2392.9755885599998</v>
      </c>
      <c r="I30" s="96">
        <f t="shared" si="2"/>
        <v>0.19941463237999998</v>
      </c>
      <c r="J30" s="99">
        <v>0.845871239779029</v>
      </c>
      <c r="K30" s="96">
        <v>0.72036729080295503</v>
      </c>
      <c r="L30" s="112">
        <v>0.58037742201568598</v>
      </c>
      <c r="M30" s="113">
        <v>0.54139062413208805</v>
      </c>
      <c r="N30" s="39"/>
    </row>
    <row r="31" spans="1:14" x14ac:dyDescent="0.25">
      <c r="A31" s="58">
        <f t="shared" si="1"/>
        <v>12</v>
      </c>
      <c r="B31" s="59">
        <v>3</v>
      </c>
      <c r="C31" s="59">
        <v>2</v>
      </c>
      <c r="D31" s="60">
        <v>126</v>
      </c>
      <c r="E31" s="61">
        <v>0.20457518578384501</v>
      </c>
      <c r="F31" s="61">
        <v>0.20486695754277101</v>
      </c>
      <c r="G31" s="116">
        <v>12000</v>
      </c>
      <c r="H31" s="62">
        <v>2865.79355072</v>
      </c>
      <c r="I31" s="61">
        <f t="shared" si="2"/>
        <v>0.23881612922666667</v>
      </c>
      <c r="J31" s="64">
        <v>1.70572100750281</v>
      </c>
      <c r="K31" s="61">
        <v>0.36972086814086802</v>
      </c>
      <c r="L31" s="67">
        <v>0.15382033005719301</v>
      </c>
      <c r="M31" s="68">
        <v>0.76462360416943698</v>
      </c>
    </row>
    <row r="32" spans="1:14" x14ac:dyDescent="0.25">
      <c r="A32" s="93">
        <f t="shared" si="1"/>
        <v>18</v>
      </c>
      <c r="B32" s="94">
        <v>3</v>
      </c>
      <c r="C32" s="94">
        <v>3</v>
      </c>
      <c r="D32" s="95">
        <v>248</v>
      </c>
      <c r="E32" s="96">
        <v>7.5464834323217295E-2</v>
      </c>
      <c r="F32" s="96">
        <v>8.1788238251871606E-2</v>
      </c>
      <c r="G32" s="118">
        <v>12000</v>
      </c>
      <c r="H32" s="97">
        <v>2309.8962450019999</v>
      </c>
      <c r="I32" s="96">
        <f t="shared" si="2"/>
        <v>0.19249135375016665</v>
      </c>
      <c r="J32" s="99">
        <v>0.36551834751996298</v>
      </c>
      <c r="K32" s="96">
        <v>0.19992803789847</v>
      </c>
      <c r="L32" s="112">
        <v>0.81867245973871605</v>
      </c>
      <c r="M32" s="113">
        <v>0.87271927272417804</v>
      </c>
    </row>
    <row r="33" spans="1:13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</row>
    <row r="34" spans="1:13" x14ac:dyDescent="0.25">
      <c r="A34" s="49" t="s">
        <v>25</v>
      </c>
      <c r="B34" s="50"/>
      <c r="C34" s="50"/>
      <c r="D34" s="51"/>
      <c r="E34" s="49" t="s">
        <v>26</v>
      </c>
      <c r="F34" s="50"/>
      <c r="G34" s="50"/>
      <c r="H34" s="50"/>
      <c r="I34" s="51"/>
      <c r="J34" s="49" t="s">
        <v>27</v>
      </c>
      <c r="K34" s="50"/>
      <c r="L34" s="50"/>
      <c r="M34" s="51"/>
    </row>
    <row r="35" spans="1:13" x14ac:dyDescent="0.25">
      <c r="A35" s="52"/>
      <c r="B35" s="53"/>
      <c r="C35" s="53"/>
      <c r="D35" s="54"/>
      <c r="E35" s="52"/>
      <c r="F35" s="53"/>
      <c r="G35" s="53"/>
      <c r="H35" s="53"/>
      <c r="I35" s="54"/>
      <c r="J35" s="52"/>
      <c r="K35" s="53"/>
      <c r="L35" s="53"/>
      <c r="M35" s="54"/>
    </row>
    <row r="36" spans="1:13" ht="15.75" x14ac:dyDescent="0.25">
      <c r="A36" s="55" t="s">
        <v>1</v>
      </c>
      <c r="B36" s="56" t="s">
        <v>2</v>
      </c>
      <c r="C36" s="56" t="s">
        <v>15</v>
      </c>
      <c r="D36" s="57" t="s">
        <v>9</v>
      </c>
      <c r="E36" s="56" t="s">
        <v>4</v>
      </c>
      <c r="F36" s="56" t="s">
        <v>4</v>
      </c>
      <c r="G36" s="56" t="s">
        <v>18</v>
      </c>
      <c r="H36" s="56" t="s">
        <v>10</v>
      </c>
      <c r="I36" s="56" t="s">
        <v>16</v>
      </c>
      <c r="J36" s="55" t="s">
        <v>5</v>
      </c>
      <c r="K36" s="56" t="s">
        <v>5</v>
      </c>
      <c r="L36" s="56" t="s">
        <v>6</v>
      </c>
      <c r="M36" s="57" t="s">
        <v>6</v>
      </c>
    </row>
    <row r="37" spans="1:13" x14ac:dyDescent="0.25">
      <c r="A37" s="58">
        <f>B37*C37</f>
        <v>3</v>
      </c>
      <c r="B37" s="59">
        <v>1</v>
      </c>
      <c r="C37" s="59">
        <v>3</v>
      </c>
      <c r="D37" s="60">
        <v>71</v>
      </c>
      <c r="E37" s="61">
        <v>0.49599897718786701</v>
      </c>
      <c r="F37" s="61">
        <v>0.30203057699818198</v>
      </c>
      <c r="G37" s="116">
        <v>12000</v>
      </c>
      <c r="H37" s="62">
        <v>1498.0938787</v>
      </c>
      <c r="I37" s="61">
        <f>H37/G37</f>
        <v>0.12484115655833333</v>
      </c>
      <c r="J37" s="64">
        <v>1.1727086665202</v>
      </c>
      <c r="K37" s="61">
        <v>1.3029863949783</v>
      </c>
      <c r="L37" s="65">
        <v>0.41823883975732601</v>
      </c>
      <c r="M37" s="66">
        <v>0.170476248721247</v>
      </c>
    </row>
    <row r="38" spans="1:13" x14ac:dyDescent="0.25">
      <c r="A38" s="58">
        <f>B38*C38</f>
        <v>4</v>
      </c>
      <c r="B38" s="59">
        <v>1</v>
      </c>
      <c r="C38" s="59">
        <v>4</v>
      </c>
      <c r="D38" s="60">
        <v>106</v>
      </c>
      <c r="E38" s="61">
        <v>0.137584598166025</v>
      </c>
      <c r="F38" s="61">
        <v>0.11276955216451701</v>
      </c>
      <c r="G38" s="116">
        <v>12000</v>
      </c>
      <c r="H38" s="62">
        <v>1297.4640109500001</v>
      </c>
      <c r="I38" s="61">
        <f t="shared" ref="I38:I47" si="3">H38/G38</f>
        <v>0.1081220009125</v>
      </c>
      <c r="J38" s="64">
        <v>0.33072159270523899</v>
      </c>
      <c r="K38" s="61">
        <v>0.20309825554257099</v>
      </c>
      <c r="L38" s="67">
        <v>0.83593454795518896</v>
      </c>
      <c r="M38" s="68">
        <v>0.87070100849468102</v>
      </c>
    </row>
    <row r="39" spans="1:13" x14ac:dyDescent="0.25">
      <c r="A39" s="5">
        <f>B39*C39</f>
        <v>5</v>
      </c>
      <c r="B39" s="6">
        <v>1</v>
      </c>
      <c r="C39" s="6">
        <v>5</v>
      </c>
      <c r="D39" s="16">
        <v>147</v>
      </c>
      <c r="E39" s="7">
        <v>0.16173524638709699</v>
      </c>
      <c r="F39" s="7">
        <v>0.137982330716586</v>
      </c>
      <c r="G39" s="35">
        <v>12000</v>
      </c>
      <c r="H39" s="29">
        <v>819.21955251692998</v>
      </c>
      <c r="I39" s="30">
        <f t="shared" si="3"/>
        <v>6.8268296043077492E-2</v>
      </c>
      <c r="J39" s="10">
        <v>0.19291071867985901</v>
      </c>
      <c r="K39" s="7">
        <v>0.212695667449563</v>
      </c>
      <c r="L39" s="8">
        <v>0.90430021818167405</v>
      </c>
      <c r="M39" s="11">
        <v>0.86459098220558295</v>
      </c>
    </row>
    <row r="40" spans="1:13" x14ac:dyDescent="0.25">
      <c r="A40" s="69">
        <f>B40*C40</f>
        <v>7</v>
      </c>
      <c r="B40" s="70">
        <v>1</v>
      </c>
      <c r="C40" s="70">
        <v>7</v>
      </c>
      <c r="D40" s="71">
        <v>247</v>
      </c>
      <c r="E40" s="72">
        <v>5.6436778302119302E-2</v>
      </c>
      <c r="F40" s="72">
        <v>5.0439153536114903E-2</v>
      </c>
      <c r="G40" s="116">
        <v>12000</v>
      </c>
      <c r="H40" s="73">
        <v>810.14787340164105</v>
      </c>
      <c r="I40" s="61">
        <f t="shared" si="3"/>
        <v>6.7512322783470094E-2</v>
      </c>
      <c r="J40" s="75">
        <v>0.22191924314248301</v>
      </c>
      <c r="K40" s="72">
        <v>0.24253888697484999</v>
      </c>
      <c r="L40" s="76">
        <v>0.88990957425612005</v>
      </c>
      <c r="M40" s="77">
        <v>0.84559181267759698</v>
      </c>
    </row>
    <row r="41" spans="1:13" x14ac:dyDescent="0.25">
      <c r="A41" s="127">
        <f t="shared" ref="A41:A47" si="4">B41*C41</f>
        <v>10</v>
      </c>
      <c r="B41" s="94">
        <v>1</v>
      </c>
      <c r="C41" s="94">
        <v>10</v>
      </c>
      <c r="D41" s="95">
        <v>442</v>
      </c>
      <c r="E41" s="96">
        <v>7.4102544289148503E-2</v>
      </c>
      <c r="F41" s="96">
        <v>8.5301154306980001E-2</v>
      </c>
      <c r="G41" s="118">
        <v>12000</v>
      </c>
      <c r="H41" s="97">
        <v>1460.54504847526</v>
      </c>
      <c r="I41" s="128">
        <f t="shared" si="3"/>
        <v>0.12171208737293834</v>
      </c>
      <c r="J41" s="99">
        <v>0.464342528435637</v>
      </c>
      <c r="K41" s="96">
        <v>0.71169608247092198</v>
      </c>
      <c r="L41" s="112">
        <v>0.76964743605561203</v>
      </c>
      <c r="M41" s="113">
        <v>0.54691099893525497</v>
      </c>
    </row>
    <row r="42" spans="1:13" x14ac:dyDescent="0.25">
      <c r="A42" s="69">
        <f t="shared" si="4"/>
        <v>6</v>
      </c>
      <c r="B42" s="119">
        <v>2</v>
      </c>
      <c r="C42" s="119">
        <v>3</v>
      </c>
      <c r="D42" s="120">
        <v>143</v>
      </c>
      <c r="E42" s="121">
        <v>0.23365125137220399</v>
      </c>
      <c r="F42" s="121">
        <v>0.15838145635329101</v>
      </c>
      <c r="G42" s="116">
        <v>12000</v>
      </c>
      <c r="H42" s="122">
        <v>1578.25563025474</v>
      </c>
      <c r="I42" s="61">
        <f t="shared" si="3"/>
        <v>0.13152130252122834</v>
      </c>
      <c r="J42" s="123">
        <v>0.32255090551853999</v>
      </c>
      <c r="K42" s="121">
        <v>0.37520628314744497</v>
      </c>
      <c r="L42" s="124">
        <v>0.83998788924396695</v>
      </c>
      <c r="M42" s="125">
        <v>0.76113140958389702</v>
      </c>
    </row>
    <row r="43" spans="1:13" x14ac:dyDescent="0.25">
      <c r="A43" s="69">
        <f t="shared" si="4"/>
        <v>8</v>
      </c>
      <c r="B43" s="59">
        <v>2</v>
      </c>
      <c r="C43" s="59">
        <v>4</v>
      </c>
      <c r="D43" s="60">
        <v>226</v>
      </c>
      <c r="E43" s="61">
        <v>0.13530582900084001</v>
      </c>
      <c r="F43" s="61">
        <v>0.12648166730144</v>
      </c>
      <c r="G43" s="116">
        <v>12000</v>
      </c>
      <c r="H43" s="62">
        <v>1581.2625482082301</v>
      </c>
      <c r="I43" s="61">
        <f t="shared" si="3"/>
        <v>0.13177187901735252</v>
      </c>
      <c r="J43" s="64">
        <v>0.37511944672264802</v>
      </c>
      <c r="K43" s="61">
        <v>0.54692981775157701</v>
      </c>
      <c r="L43" s="67">
        <v>0.81390951496716202</v>
      </c>
      <c r="M43" s="68">
        <v>0.65180659149165698</v>
      </c>
    </row>
    <row r="44" spans="1:13" x14ac:dyDescent="0.25">
      <c r="A44" s="69">
        <f t="shared" si="4"/>
        <v>10</v>
      </c>
      <c r="B44" s="59">
        <v>2</v>
      </c>
      <c r="C44" s="59">
        <v>5</v>
      </c>
      <c r="D44" s="60">
        <v>327</v>
      </c>
      <c r="E44" s="61">
        <v>3.2611916045977803E-2</v>
      </c>
      <c r="F44" s="61">
        <v>3.0886278409669999E-2</v>
      </c>
      <c r="G44" s="116">
        <v>12000</v>
      </c>
      <c r="H44" s="62">
        <v>1591.46302604675</v>
      </c>
      <c r="I44" s="61">
        <f t="shared" si="3"/>
        <v>0.13262191883722915</v>
      </c>
      <c r="J44" s="64">
        <v>0.61654130064648105</v>
      </c>
      <c r="K44" s="61">
        <v>0.234470266068077</v>
      </c>
      <c r="L44" s="67">
        <v>0.69414417012373697</v>
      </c>
      <c r="M44" s="68">
        <v>0.85072856061911695</v>
      </c>
    </row>
    <row r="45" spans="1:13" x14ac:dyDescent="0.25">
      <c r="A45" s="127">
        <f t="shared" si="4"/>
        <v>14</v>
      </c>
      <c r="B45" s="94">
        <v>2</v>
      </c>
      <c r="C45" s="94">
        <v>7</v>
      </c>
      <c r="D45" s="95">
        <v>583</v>
      </c>
      <c r="E45" s="96">
        <v>2.5324413611345301E-2</v>
      </c>
      <c r="F45" s="96">
        <v>3.25215418688094E-2</v>
      </c>
      <c r="G45" s="118">
        <v>12000</v>
      </c>
      <c r="H45" s="97">
        <v>1571.1752924919101</v>
      </c>
      <c r="I45" s="128">
        <f t="shared" si="3"/>
        <v>0.13093127437432583</v>
      </c>
      <c r="J45" s="99">
        <v>0.32440372349046798</v>
      </c>
      <c r="K45" s="96">
        <v>0.39195478912580101</v>
      </c>
      <c r="L45" s="112">
        <v>0.83906873722962605</v>
      </c>
      <c r="M45" s="113">
        <v>0.75046876294305298</v>
      </c>
    </row>
    <row r="46" spans="1:13" x14ac:dyDescent="0.25">
      <c r="A46" s="69">
        <f t="shared" si="4"/>
        <v>6</v>
      </c>
      <c r="B46" s="59">
        <v>3</v>
      </c>
      <c r="C46" s="59">
        <v>2</v>
      </c>
      <c r="D46" s="60">
        <v>114</v>
      </c>
      <c r="E46" s="61">
        <v>0.19286510451083899</v>
      </c>
      <c r="F46" s="61">
        <v>0.164697449715456</v>
      </c>
      <c r="G46" s="116">
        <v>12000</v>
      </c>
      <c r="H46" s="62">
        <v>3638.45895600318</v>
      </c>
      <c r="I46" s="61">
        <f t="shared" si="3"/>
        <v>0.30320491300026498</v>
      </c>
      <c r="J46" s="64">
        <v>0.39433418570254403</v>
      </c>
      <c r="K46" s="61">
        <v>0.25012979945060598</v>
      </c>
      <c r="L46" s="67">
        <v>0.80437740425472604</v>
      </c>
      <c r="M46" s="68">
        <v>0.84075918954600903</v>
      </c>
    </row>
    <row r="47" spans="1:13" x14ac:dyDescent="0.25">
      <c r="A47" s="127">
        <f t="shared" si="4"/>
        <v>9</v>
      </c>
      <c r="B47" s="94">
        <v>3</v>
      </c>
      <c r="C47" s="94">
        <v>3</v>
      </c>
      <c r="D47" s="95">
        <v>215</v>
      </c>
      <c r="E47" s="96">
        <v>8.2873523787290002E-2</v>
      </c>
      <c r="F47" s="96">
        <v>8.5838301344669493E-2</v>
      </c>
      <c r="G47" s="118">
        <v>12000</v>
      </c>
      <c r="H47" s="97">
        <v>3741.5271584987599</v>
      </c>
      <c r="I47" s="128">
        <f t="shared" si="3"/>
        <v>0.31179392987489668</v>
      </c>
      <c r="J47" s="99">
        <v>0.36636237181818199</v>
      </c>
      <c r="K47" s="96">
        <v>0.20317758256413601</v>
      </c>
      <c r="L47" s="112">
        <v>0.81825375339755702</v>
      </c>
      <c r="M47" s="113">
        <v>0.87065050631848095</v>
      </c>
    </row>
    <row r="48" spans="1:13" x14ac:dyDescent="0.2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</row>
    <row r="49" spans="1:14" ht="15" customHeight="1" x14ac:dyDescent="0.25">
      <c r="A49" s="49" t="s">
        <v>28</v>
      </c>
      <c r="B49" s="50"/>
      <c r="C49" s="50"/>
      <c r="D49" s="51"/>
      <c r="E49" s="49" t="s">
        <v>30</v>
      </c>
      <c r="F49" s="50"/>
      <c r="G49" s="50"/>
      <c r="H49" s="50"/>
      <c r="I49" s="51"/>
      <c r="J49" s="49" t="s">
        <v>29</v>
      </c>
      <c r="K49" s="50"/>
      <c r="L49" s="50"/>
      <c r="M49" s="51"/>
    </row>
    <row r="50" spans="1:14" ht="15" customHeight="1" x14ac:dyDescent="0.25">
      <c r="A50" s="52"/>
      <c r="B50" s="53"/>
      <c r="C50" s="53"/>
      <c r="D50" s="54"/>
      <c r="E50" s="52"/>
      <c r="F50" s="53"/>
      <c r="G50" s="53"/>
      <c r="H50" s="53"/>
      <c r="I50" s="54"/>
      <c r="J50" s="52"/>
      <c r="K50" s="53"/>
      <c r="L50" s="53"/>
      <c r="M50" s="54"/>
    </row>
    <row r="51" spans="1:14" ht="15.75" x14ac:dyDescent="0.25">
      <c r="A51" s="55" t="s">
        <v>1</v>
      </c>
      <c r="B51" s="56" t="s">
        <v>2</v>
      </c>
      <c r="C51" s="56" t="s">
        <v>3</v>
      </c>
      <c r="D51" s="57" t="s">
        <v>9</v>
      </c>
      <c r="E51" s="56" t="s">
        <v>4</v>
      </c>
      <c r="F51" s="56" t="s">
        <v>4</v>
      </c>
      <c r="G51" s="56" t="s">
        <v>18</v>
      </c>
      <c r="H51" s="56" t="s">
        <v>10</v>
      </c>
      <c r="I51" s="56" t="s">
        <v>11</v>
      </c>
      <c r="J51" s="55" t="s">
        <v>5</v>
      </c>
      <c r="K51" s="56" t="s">
        <v>5</v>
      </c>
      <c r="L51" s="56" t="s">
        <v>6</v>
      </c>
      <c r="M51" s="57" t="s">
        <v>6</v>
      </c>
    </row>
    <row r="52" spans="1:14" x14ac:dyDescent="0.25">
      <c r="A52" s="58">
        <v>3</v>
      </c>
      <c r="B52" s="59">
        <v>1</v>
      </c>
      <c r="C52" s="59">
        <v>5</v>
      </c>
      <c r="D52" s="60">
        <v>87</v>
      </c>
      <c r="E52" s="61">
        <v>5.0155508449454196</v>
      </c>
      <c r="F52" s="61">
        <v>4.02107286279682</v>
      </c>
      <c r="G52" s="59">
        <v>1000</v>
      </c>
      <c r="H52" s="62">
        <v>89.590153932571397</v>
      </c>
      <c r="I52" s="63">
        <f>H52/G52</f>
        <v>8.9590153932571401E-2</v>
      </c>
      <c r="J52" s="64">
        <v>6.3441559041001003</v>
      </c>
      <c r="K52" s="61">
        <v>3.6031572601539201</v>
      </c>
      <c r="L52" s="65">
        <v>-2.1472296614651798</v>
      </c>
      <c r="M52" s="66">
        <v>-1.29388774772274</v>
      </c>
    </row>
    <row r="53" spans="1:14" x14ac:dyDescent="0.25">
      <c r="A53" s="58">
        <v>3</v>
      </c>
      <c r="B53" s="59">
        <v>1</v>
      </c>
      <c r="C53" s="59">
        <v>8</v>
      </c>
      <c r="D53" s="60">
        <v>138</v>
      </c>
      <c r="E53" s="61">
        <v>6.8756872511664904</v>
      </c>
      <c r="F53" s="61">
        <v>6.9953481528835999</v>
      </c>
      <c r="G53" s="59">
        <v>1000</v>
      </c>
      <c r="H53" s="62">
        <v>93.473408222198401</v>
      </c>
      <c r="I53" s="63">
        <f t="shared" ref="I53:I62" si="5">H53/G53</f>
        <v>9.3473408222198406E-2</v>
      </c>
      <c r="J53" s="64">
        <v>7.2584509370122996</v>
      </c>
      <c r="K53" s="61">
        <v>6.9879029559552404</v>
      </c>
      <c r="L53" s="67">
        <v>-2.6007961390878198</v>
      </c>
      <c r="M53" s="68">
        <v>-3.4487275507526598</v>
      </c>
    </row>
    <row r="54" spans="1:14" x14ac:dyDescent="0.25">
      <c r="A54" s="69">
        <v>3</v>
      </c>
      <c r="B54" s="70">
        <v>1</v>
      </c>
      <c r="C54" s="70">
        <v>10</v>
      </c>
      <c r="D54" s="71">
        <v>172</v>
      </c>
      <c r="E54" s="72">
        <v>7.85156660009417</v>
      </c>
      <c r="F54" s="72">
        <v>7.7647010805504202</v>
      </c>
      <c r="G54" s="59">
        <v>1000</v>
      </c>
      <c r="H54" s="73">
        <v>104.78219819068001</v>
      </c>
      <c r="I54" s="63">
        <f t="shared" si="5"/>
        <v>0.10478219819068001</v>
      </c>
      <c r="J54" s="75">
        <v>7.7405853229349999</v>
      </c>
      <c r="K54" s="72">
        <v>9.3000955653214792</v>
      </c>
      <c r="L54" s="76">
        <v>-2.8399749460284802</v>
      </c>
      <c r="M54" s="77">
        <v>-4.9207449827016996</v>
      </c>
    </row>
    <row r="55" spans="1:14" x14ac:dyDescent="0.25">
      <c r="A55" s="78">
        <v>3</v>
      </c>
      <c r="B55" s="79">
        <v>1</v>
      </c>
      <c r="C55" s="79">
        <v>15</v>
      </c>
      <c r="D55" s="80">
        <v>257</v>
      </c>
      <c r="E55" s="81">
        <v>8.0630228361901697</v>
      </c>
      <c r="F55" s="81">
        <v>9.8918608181814296</v>
      </c>
      <c r="G55" s="94">
        <v>1000</v>
      </c>
      <c r="H55" s="129">
        <v>112.594021081924</v>
      </c>
      <c r="I55" s="111">
        <f t="shared" si="5"/>
        <v>0.112594021081924</v>
      </c>
      <c r="J55" s="83">
        <v>7.4535475936084898</v>
      </c>
      <c r="K55" s="81">
        <v>10.7121429730665</v>
      </c>
      <c r="L55" s="84">
        <v>-2.6975803281547002</v>
      </c>
      <c r="M55" s="85">
        <v>-5.8197005413862799</v>
      </c>
    </row>
    <row r="56" spans="1:14" x14ac:dyDescent="0.25">
      <c r="A56" s="58">
        <v>3</v>
      </c>
      <c r="B56" s="59">
        <v>2</v>
      </c>
      <c r="C56" s="59">
        <v>3</v>
      </c>
      <c r="D56" s="60">
        <v>65</v>
      </c>
      <c r="E56" s="61">
        <v>8.2622449069317696</v>
      </c>
      <c r="F56" s="61">
        <v>9.5508500339550793</v>
      </c>
      <c r="G56" s="59">
        <v>1000</v>
      </c>
      <c r="H56" s="62">
        <v>170.33283448219299</v>
      </c>
      <c r="I56" s="63">
        <f t="shared" si="5"/>
        <v>0.170332834482193</v>
      </c>
      <c r="J56" s="64">
        <v>8.1210238507639403</v>
      </c>
      <c r="K56" s="61">
        <v>9.6827817444698994</v>
      </c>
      <c r="L56" s="65">
        <v>-3.0287041382561801</v>
      </c>
      <c r="M56" s="66">
        <v>-5.1643755195309096</v>
      </c>
    </row>
    <row r="57" spans="1:14" x14ac:dyDescent="0.25">
      <c r="A57" s="86">
        <v>3</v>
      </c>
      <c r="B57" s="87">
        <v>2</v>
      </c>
      <c r="C57" s="87">
        <v>5</v>
      </c>
      <c r="D57" s="88">
        <v>117</v>
      </c>
      <c r="E57" s="89">
        <v>7.7178023995863798</v>
      </c>
      <c r="F57" s="89">
        <v>9.4936300553693496</v>
      </c>
      <c r="G57" s="59">
        <v>1000</v>
      </c>
      <c r="H57" s="126">
        <v>120.01977419853201</v>
      </c>
      <c r="I57" s="63">
        <f t="shared" si="5"/>
        <v>0.12001977419853201</v>
      </c>
      <c r="J57" s="90">
        <v>6.6020985188686696</v>
      </c>
      <c r="K57" s="89">
        <v>9.3484096645242207</v>
      </c>
      <c r="L57" s="91">
        <v>-2.2751906795150099</v>
      </c>
      <c r="M57" s="92">
        <v>-4.9515033182950399</v>
      </c>
    </row>
    <row r="58" spans="1:14" x14ac:dyDescent="0.25">
      <c r="A58" s="58">
        <v>3</v>
      </c>
      <c r="B58" s="59">
        <v>2</v>
      </c>
      <c r="C58" s="59">
        <v>7</v>
      </c>
      <c r="D58" s="60">
        <v>177</v>
      </c>
      <c r="E58" s="61">
        <v>9.9773396662818499</v>
      </c>
      <c r="F58" s="61">
        <v>8.4243280690043996</v>
      </c>
      <c r="G58" s="59">
        <v>1000</v>
      </c>
      <c r="H58" s="62">
        <v>117.51246070800001</v>
      </c>
      <c r="I58" s="63">
        <f t="shared" si="5"/>
        <v>0.117512460708</v>
      </c>
      <c r="J58" s="64">
        <v>9.8954176817383299</v>
      </c>
      <c r="K58" s="61">
        <v>8.5393059619979592</v>
      </c>
      <c r="L58" s="65">
        <v>-3.90895124762408</v>
      </c>
      <c r="M58" s="66">
        <v>-4.43640144073147</v>
      </c>
    </row>
    <row r="59" spans="1:14" x14ac:dyDescent="0.25">
      <c r="A59" s="93">
        <v>3</v>
      </c>
      <c r="B59" s="94">
        <v>2</v>
      </c>
      <c r="C59" s="94">
        <v>10</v>
      </c>
      <c r="D59" s="95">
        <v>282</v>
      </c>
      <c r="E59" s="96">
        <v>2.56827068584884</v>
      </c>
      <c r="F59" s="96">
        <v>5.5859261148379504</v>
      </c>
      <c r="G59" s="94">
        <v>1000</v>
      </c>
      <c r="H59" s="97">
        <v>105.30480384825999</v>
      </c>
      <c r="I59" s="111">
        <f t="shared" si="5"/>
        <v>0.10530480384825999</v>
      </c>
      <c r="J59" s="99">
        <v>2.0973853920844099</v>
      </c>
      <c r="K59" s="96">
        <v>5.8676204232276703</v>
      </c>
      <c r="L59" s="100">
        <v>-4.04778219945338E-2</v>
      </c>
      <c r="M59" s="101">
        <v>-2.7355190532412901</v>
      </c>
    </row>
    <row r="60" spans="1:14" x14ac:dyDescent="0.25">
      <c r="A60" s="102">
        <v>3</v>
      </c>
      <c r="B60" s="103">
        <v>3</v>
      </c>
      <c r="C60" s="103">
        <v>3</v>
      </c>
      <c r="D60" s="104">
        <v>77</v>
      </c>
      <c r="E60" s="105">
        <v>5.4775782193521696</v>
      </c>
      <c r="F60" s="105">
        <v>3.17183930674457</v>
      </c>
      <c r="G60" s="59">
        <v>1000</v>
      </c>
      <c r="H60" s="106">
        <v>120.96999883651699</v>
      </c>
      <c r="I60" s="63">
        <f t="shared" si="5"/>
        <v>0.12096999883651699</v>
      </c>
      <c r="J60" s="108">
        <v>5.5254093665618598</v>
      </c>
      <c r="K60" s="105">
        <v>2.8111714613791499</v>
      </c>
      <c r="L60" s="109">
        <v>-1.74106319470213</v>
      </c>
      <c r="M60" s="110">
        <v>-0.789683687502996</v>
      </c>
    </row>
    <row r="61" spans="1:14" x14ac:dyDescent="0.25">
      <c r="A61" s="58">
        <v>3</v>
      </c>
      <c r="B61" s="59">
        <v>3</v>
      </c>
      <c r="C61" s="59">
        <v>5</v>
      </c>
      <c r="D61" s="60">
        <v>147</v>
      </c>
      <c r="E61" s="61">
        <v>5.3080993018436002</v>
      </c>
      <c r="F61" s="61">
        <v>5.7560882368974999</v>
      </c>
      <c r="G61" s="59">
        <v>1000</v>
      </c>
      <c r="H61" s="62">
        <v>112.762680530548</v>
      </c>
      <c r="I61" s="63">
        <f t="shared" si="5"/>
        <v>0.112762680530548</v>
      </c>
      <c r="J61" s="64">
        <v>5.2680388843993402</v>
      </c>
      <c r="K61" s="61">
        <v>6.5922725722594899</v>
      </c>
      <c r="L61" s="67">
        <v>-1.61338600207135</v>
      </c>
      <c r="M61" s="68">
        <v>-3.1968563099876199</v>
      </c>
    </row>
    <row r="62" spans="1:14" x14ac:dyDescent="0.25">
      <c r="A62" s="93">
        <v>3</v>
      </c>
      <c r="B62" s="94">
        <v>3</v>
      </c>
      <c r="C62" s="94">
        <v>7</v>
      </c>
      <c r="D62" s="95">
        <v>233</v>
      </c>
      <c r="E62" s="96">
        <v>7.6567851203506301</v>
      </c>
      <c r="F62" s="96">
        <v>9.9372381597750898</v>
      </c>
      <c r="G62" s="94">
        <v>1000</v>
      </c>
      <c r="H62" s="97">
        <v>120.08608055114701</v>
      </c>
      <c r="I62" s="111">
        <f t="shared" si="5"/>
        <v>0.120086080551147</v>
      </c>
      <c r="J62" s="99">
        <v>7.5068714133038696</v>
      </c>
      <c r="K62" s="96">
        <v>11.420818731819899</v>
      </c>
      <c r="L62" s="112">
        <v>-2.7240333834617898</v>
      </c>
      <c r="M62" s="113">
        <v>-6.2708667055972303</v>
      </c>
    </row>
    <row r="63" spans="1:14" x14ac:dyDescent="0.25">
      <c r="D63" s="43"/>
      <c r="E63" s="45"/>
      <c r="F63" s="45"/>
      <c r="G63" s="45"/>
      <c r="H63" s="45"/>
      <c r="I63" s="45"/>
      <c r="J63" s="45"/>
      <c r="K63" s="45"/>
      <c r="L63" s="45"/>
      <c r="M63" s="45"/>
      <c r="N63" s="43"/>
    </row>
    <row r="64" spans="1:14" x14ac:dyDescent="0.25">
      <c r="D64" s="43"/>
      <c r="E64" s="45"/>
      <c r="F64" s="45"/>
      <c r="G64" s="45"/>
      <c r="H64" s="45"/>
      <c r="I64" s="45"/>
      <c r="J64" s="45"/>
      <c r="K64" s="45"/>
      <c r="L64" s="45"/>
      <c r="M64" s="45"/>
      <c r="N64" s="43"/>
    </row>
    <row r="65" spans="4:14" ht="15.75" x14ac:dyDescent="0.25">
      <c r="D65" s="43"/>
      <c r="E65" s="46"/>
      <c r="F65" s="46"/>
      <c r="G65" s="46"/>
      <c r="H65" s="46"/>
      <c r="I65" s="46"/>
      <c r="J65" s="46"/>
      <c r="K65" s="46"/>
      <c r="L65" s="46"/>
      <c r="M65" s="46"/>
      <c r="N65" s="43"/>
    </row>
    <row r="66" spans="4:14" x14ac:dyDescent="0.25">
      <c r="D66" s="43"/>
      <c r="E66" s="42"/>
      <c r="F66" s="42"/>
      <c r="G66" s="43"/>
      <c r="H66" s="44"/>
      <c r="I66" s="47"/>
      <c r="J66" s="42"/>
      <c r="K66" s="42"/>
      <c r="L66" s="48"/>
      <c r="M66" s="48"/>
      <c r="N66" s="43"/>
    </row>
    <row r="67" spans="4:14" x14ac:dyDescent="0.25">
      <c r="D67" s="43"/>
      <c r="E67" s="42"/>
      <c r="F67" s="42"/>
      <c r="G67" s="43"/>
      <c r="H67" s="43"/>
      <c r="I67" s="47"/>
      <c r="J67" s="42"/>
      <c r="K67" s="42"/>
      <c r="L67" s="4"/>
      <c r="M67" s="4"/>
      <c r="N67" s="43"/>
    </row>
    <row r="68" spans="4:14" x14ac:dyDescent="0.25">
      <c r="D68" s="43"/>
      <c r="E68" s="26"/>
      <c r="F68" s="26"/>
      <c r="G68" s="43"/>
      <c r="H68" s="27"/>
      <c r="I68" s="41"/>
      <c r="J68" s="26"/>
      <c r="K68" s="26"/>
      <c r="L68" s="28"/>
      <c r="M68" s="28"/>
      <c r="N68" s="43"/>
    </row>
    <row r="69" spans="4:14" x14ac:dyDescent="0.25">
      <c r="D69" s="43"/>
      <c r="E69" s="32"/>
      <c r="F69" s="32"/>
      <c r="G69" s="43"/>
      <c r="H69" s="31"/>
      <c r="I69" s="40"/>
      <c r="J69" s="32"/>
      <c r="K69" s="32"/>
      <c r="L69" s="33"/>
      <c r="M69" s="33"/>
      <c r="N69" s="43"/>
    </row>
    <row r="70" spans="4:14" x14ac:dyDescent="0.25">
      <c r="D70" s="43"/>
      <c r="E70" s="42"/>
      <c r="F70" s="42"/>
      <c r="G70" s="43"/>
      <c r="H70" s="44"/>
      <c r="I70" s="47"/>
      <c r="J70" s="42"/>
      <c r="K70" s="42"/>
      <c r="L70" s="48"/>
      <c r="M70" s="48"/>
      <c r="N70" s="43"/>
    </row>
    <row r="71" spans="4:14" x14ac:dyDescent="0.25">
      <c r="D71" s="43"/>
      <c r="E71" s="32"/>
      <c r="F71" s="32"/>
      <c r="G71" s="43"/>
      <c r="H71" s="31"/>
      <c r="I71" s="40"/>
      <c r="J71" s="32"/>
      <c r="K71" s="32"/>
      <c r="L71" s="33"/>
      <c r="M71" s="33"/>
      <c r="N71" s="43"/>
    </row>
    <row r="72" spans="4:14" x14ac:dyDescent="0.25">
      <c r="D72" s="43"/>
      <c r="E72" s="42"/>
      <c r="F72" s="42"/>
      <c r="G72" s="43"/>
      <c r="H72" s="43"/>
      <c r="I72" s="47"/>
      <c r="J72" s="42"/>
      <c r="K72" s="42"/>
      <c r="L72" s="48"/>
      <c r="M72" s="48"/>
      <c r="N72" s="43"/>
    </row>
    <row r="73" spans="4:14" x14ac:dyDescent="0.25">
      <c r="D73" s="43"/>
      <c r="E73" s="42"/>
      <c r="F73" s="42"/>
      <c r="G73" s="43"/>
      <c r="H73" s="44"/>
      <c r="I73" s="47"/>
      <c r="J73" s="42"/>
      <c r="K73" s="42"/>
      <c r="L73" s="48"/>
      <c r="M73" s="48"/>
      <c r="N73" s="43"/>
    </row>
    <row r="74" spans="4:14" x14ac:dyDescent="0.25">
      <c r="D74" s="43"/>
      <c r="E74" s="42"/>
      <c r="F74" s="42"/>
      <c r="G74" s="43"/>
      <c r="H74" s="44"/>
      <c r="I74" s="47"/>
      <c r="J74" s="42"/>
      <c r="K74" s="42"/>
      <c r="L74" s="4"/>
      <c r="M74" s="4"/>
      <c r="N74" s="43"/>
    </row>
    <row r="75" spans="4:14" x14ac:dyDescent="0.25">
      <c r="D75" s="43"/>
      <c r="E75" s="42"/>
      <c r="F75" s="42"/>
      <c r="G75" s="43"/>
      <c r="H75" s="44"/>
      <c r="I75" s="47"/>
      <c r="J75" s="42"/>
      <c r="K75" s="42"/>
      <c r="L75" s="4"/>
      <c r="M75" s="4"/>
      <c r="N75" s="43"/>
    </row>
    <row r="76" spans="4:14" x14ac:dyDescent="0.25">
      <c r="D76" s="43"/>
      <c r="E76" s="42"/>
      <c r="F76" s="42"/>
      <c r="G76" s="43"/>
      <c r="H76" s="44"/>
      <c r="I76" s="47"/>
      <c r="J76" s="42"/>
      <c r="K76" s="42"/>
      <c r="L76" s="4"/>
      <c r="M76" s="4"/>
      <c r="N76" s="43"/>
    </row>
    <row r="77" spans="4:14" x14ac:dyDescent="0.25"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</row>
  </sheetData>
  <mergeCells count="17">
    <mergeCell ref="E63:I64"/>
    <mergeCell ref="J63:M64"/>
    <mergeCell ref="N4:N15"/>
    <mergeCell ref="A1:F1"/>
    <mergeCell ref="N19:N30"/>
    <mergeCell ref="J19:M20"/>
    <mergeCell ref="J4:M5"/>
    <mergeCell ref="A4:D5"/>
    <mergeCell ref="E4:I5"/>
    <mergeCell ref="A19:D20"/>
    <mergeCell ref="E19:I20"/>
    <mergeCell ref="A49:D50"/>
    <mergeCell ref="E49:I50"/>
    <mergeCell ref="J49:M50"/>
    <mergeCell ref="A34:D35"/>
    <mergeCell ref="E34:I35"/>
    <mergeCell ref="J34:M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Pirrera</dc:creator>
  <cp:lastModifiedBy>Simone  Pirrera</cp:lastModifiedBy>
  <dcterms:created xsi:type="dcterms:W3CDTF">2015-06-05T18:17:20Z</dcterms:created>
  <dcterms:modified xsi:type="dcterms:W3CDTF">2024-01-24T17:06:58Z</dcterms:modified>
</cp:coreProperties>
</file>